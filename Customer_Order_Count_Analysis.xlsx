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BE95FAB-1FF1-4211-B74E-8923BD8A15D9}" xr6:coauthVersionLast="47" xr6:coauthVersionMax="47" xr10:uidLastSave="{00000000-0000-0000-0000-000000000000}"/>
  <bookViews>
    <workbookView xWindow="-120" yWindow="-120" windowWidth="20730" windowHeight="11040" activeTab="2" xr2:uid="{12E0B085-3CB0-4BC3-98B7-800ABD7B35E2}"/>
  </bookViews>
  <sheets>
    <sheet name="Data" sheetId="1" r:id="rId1"/>
    <sheet name="Customer Order Table" sheetId="2" r:id="rId2"/>
    <sheet name="Top Custom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<sst xmlns="http://schemas.openxmlformats.org/spreadsheetml/2006/main" count="189" uniqueCount="79">
  <si>
    <t>Customer ID</t>
  </si>
  <si>
    <t>Customer Name</t>
  </si>
  <si>
    <t>Order ID</t>
  </si>
  <si>
    <t>Order Date</t>
  </si>
  <si>
    <t>Product</t>
  </si>
  <si>
    <t>Category</t>
  </si>
  <si>
    <t>Sales</t>
  </si>
  <si>
    <t>C001</t>
  </si>
  <si>
    <t>Rahul Sharma</t>
  </si>
  <si>
    <t>O1001</t>
  </si>
  <si>
    <t>Laptop</t>
  </si>
  <si>
    <t>Electronics</t>
  </si>
  <si>
    <t>Wireless Mouse</t>
  </si>
  <si>
    <t>Accessories</t>
  </si>
  <si>
    <t>O1002</t>
  </si>
  <si>
    <t>Keyboard</t>
  </si>
  <si>
    <t>O1003</t>
  </si>
  <si>
    <t>Monitor</t>
  </si>
  <si>
    <t>O1004</t>
  </si>
  <si>
    <t>Headphones</t>
  </si>
  <si>
    <t>C002</t>
  </si>
  <si>
    <t>Priya Singh</t>
  </si>
  <si>
    <t>O1005</t>
  </si>
  <si>
    <t>Notebook</t>
  </si>
  <si>
    <t>Stationery</t>
  </si>
  <si>
    <t>O1006</t>
  </si>
  <si>
    <t>Office Chair</t>
  </si>
  <si>
    <t>Furniture</t>
  </si>
  <si>
    <t>Desk Lamp</t>
  </si>
  <si>
    <t>O1007</t>
  </si>
  <si>
    <t>Printer</t>
  </si>
  <si>
    <t>C003</t>
  </si>
  <si>
    <t>Amit Kumar</t>
  </si>
  <si>
    <t>O1008</t>
  </si>
  <si>
    <t>Smartphone</t>
  </si>
  <si>
    <t>O1009</t>
  </si>
  <si>
    <t>Power Bank</t>
  </si>
  <si>
    <t>C004</t>
  </si>
  <si>
    <t>Neha Verma</t>
  </si>
  <si>
    <t>O1010</t>
  </si>
  <si>
    <t>Tablet</t>
  </si>
  <si>
    <t>O1011</t>
  </si>
  <si>
    <t>USB Cable</t>
  </si>
  <si>
    <t>O1012</t>
  </si>
  <si>
    <t>O1013</t>
  </si>
  <si>
    <t>Webcam</t>
  </si>
  <si>
    <t>C005</t>
  </si>
  <si>
    <t>Arjun Mehta</t>
  </si>
  <si>
    <t>O1014</t>
  </si>
  <si>
    <t>O1015</t>
  </si>
  <si>
    <t>Mouse</t>
  </si>
  <si>
    <t>C006</t>
  </si>
  <si>
    <t>Simran Kaur</t>
  </si>
  <si>
    <t>O1016</t>
  </si>
  <si>
    <t>O1017</t>
  </si>
  <si>
    <t>Desk Chair</t>
  </si>
  <si>
    <t>C007</t>
  </si>
  <si>
    <t>Rohan Gupta</t>
  </si>
  <si>
    <t>O1018</t>
  </si>
  <si>
    <t>C008</t>
  </si>
  <si>
    <t>Anjali Patel</t>
  </si>
  <si>
    <t>O1019</t>
  </si>
  <si>
    <t>O1020</t>
  </si>
  <si>
    <t>Smartwatch</t>
  </si>
  <si>
    <t>C009</t>
  </si>
  <si>
    <t>Vikas Yadav</t>
  </si>
  <si>
    <t>O1021</t>
  </si>
  <si>
    <t>O1022</t>
  </si>
  <si>
    <t>Ink Cartridge</t>
  </si>
  <si>
    <t>O1023</t>
  </si>
  <si>
    <t>Paper Pack</t>
  </si>
  <si>
    <t>C010</t>
  </si>
  <si>
    <t>Pooja Sharma</t>
  </si>
  <si>
    <t>O1024</t>
  </si>
  <si>
    <t>O1025</t>
  </si>
  <si>
    <t>O1026</t>
  </si>
  <si>
    <t>Order Count</t>
  </si>
  <si>
    <t>Unique Order Flag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</si>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</sst>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Customers by Order Count</a:t>
            </a:r>
          </a:p>
        </c:rich>
      </c:tx>
      <c:layout>
        <c:manualLayout>
          <c:xMode val="edge"/>
          <c:yMode val="edge"/>
          <c:x val="0.1999511099139441"/>
          <c:y val="4.63344848692332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Customers'!$C$1</c:f>
              <c:strCache>
                <c:ptCount val="1"/>
                <c:pt idx="0">
                  <c:v>Order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Customers'!$B$2:$B$11</c:f>
              <c:strCache>
                <c:ptCount val="10"/>
                <c:pt idx="0">
                  <c:v>Rahul Sharma</c:v>
                </c:pt>
                <c:pt idx="1">
                  <c:v>Neha Verma</c:v>
                </c:pt>
                <c:pt idx="2">
                  <c:v>Priya Singh</c:v>
                </c:pt>
                <c:pt idx="3">
                  <c:v>Vikas Yadav</c:v>
                </c:pt>
                <c:pt idx="4">
                  <c:v>Pooja Sharma</c:v>
                </c:pt>
                <c:pt idx="5">
                  <c:v>Amit Kumar</c:v>
                </c:pt>
                <c:pt idx="6">
                  <c:v>Arjun Mehta</c:v>
                </c:pt>
                <c:pt idx="7">
                  <c:v>Simran Kaur</c:v>
                </c:pt>
                <c:pt idx="8">
                  <c:v>Anjali Patel</c:v>
                </c:pt>
                <c:pt idx="9">
                  <c:v>Rohan Gupta</c:v>
                </c:pt>
              </c:strCache>
            </c:strRef>
          </c:cat>
          <c:val>
            <c:numRef>
              <c:f>'Top Customers'!$C$2:$C$11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8-481B-A866-FE7AEDF7C8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0063951"/>
        <c:axId val="115601919"/>
      </c:barChart>
      <c:catAx>
        <c:axId val="2000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1919"/>
        <c:crosses val="autoZero"/>
        <c:auto val="1"/>
        <c:lblAlgn val="ctr"/>
        <c:lblOffset val="100"/>
        <c:noMultiLvlLbl val="0"/>
      </c:catAx>
      <c:valAx>
        <c:axId val="11560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0</xdr:row>
      <xdr:rowOff>47624</xdr:rowOff>
    </xdr:from>
    <xdr:to>
      <xdr:col>10</xdr:col>
      <xdr:colOff>581024</xdr:colOff>
      <xdr:row>12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2BAC1B-FDC0-7A9E-F1E1-68E68B28B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E5293-917D-45FB-9FCD-97B3D4552608}" name="Table1" displayName="Table1" ref="A1:H30" totalsRowShown="0">
  <autoFilter ref="A1:H30" xr:uid="{206E5293-917D-45FB-9FCD-97B3D4552608}"/>
  <tableColumns count="8">
    <tableColumn id="1" xr3:uid="{F4AF1D40-AF22-4EEE-8453-19B1CFFEEAB5}" name="Customer ID"/>
    <tableColumn id="2" xr3:uid="{FA6A2CFA-BC32-4DCD-99CC-B4890FB8CC14}" name="Customer Name"/>
    <tableColumn id="3" xr3:uid="{D76F72A3-456A-4355-83B0-386A4BF2DF40}" name="Order ID"/>
    <tableColumn id="4" xr3:uid="{2C84E765-EAA7-4BFA-A758-589D7F13D43D}" name="Order Date" dataDxfId="2"/>
    <tableColumn id="5" xr3:uid="{C86F08D2-4856-4E19-80A6-313E06DFE284}" name="Product"/>
    <tableColumn id="6" xr3:uid="{ABB623AA-A2C2-4D06-88A6-6CA4991D8D78}" name="Category"/>
    <tableColumn id="7" xr3:uid="{4CD94D95-679D-46CF-8145-9D64E78DC7CB}" name="Sales"/>
    <tableColumn id="8" xr3:uid="{7B69CD34-EEA3-48D7-AB63-6B5C527229A3}" name="Unique Order Flag" dataDxfId="1">
      <calculatedColumnFormula>IF(COUNTIFS($A$2:A2,A2,$C$2:C2,C2)=1,1,0)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FC0021-F563-4414-AFA4-4B28577BEECA}" name="Table2" displayName="Table2" ref="A1:C11" totalsRowShown="0" headerRowDxfId="0">
  <autoFilter ref="A1:C11" xr:uid="{66FC0021-F563-4414-AFA4-4B28577BEECA}"/>
  <tableColumns count="3">
    <tableColumn id="1" xr3:uid="{72F42F80-ED49-4574-B704-EAC1C4FE3A63}" name="Rank"/>
    <tableColumn id="2" xr3:uid="{FC557C3F-3E5A-40AE-B48C-F594E6EF7B87}" name="Customer Name"/>
    <tableColumn id="3" xr3:uid="{A9BCBC3C-7C8E-4DB1-BACD-F525D24871C9}" name="Order Coun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D33C-6072-44E3-B121-8394D389F749}">
  <dimension ref="A1:H30"/>
  <sheetViews>
    <sheetView workbookViewId="0">
      <selection activeCell="K6" sqref="K6"/>
    </sheetView>
  </sheetViews>
  <sheetFormatPr defaultRowHeight="15" x14ac:dyDescent="0.25"/>
  <cols>
    <col min="1" max="1" width="14" customWidth="1"/>
    <col min="2" max="2" width="17.42578125" customWidth="1"/>
    <col min="3" max="3" width="10.5703125" customWidth="1"/>
    <col min="4" max="4" width="12.85546875" customWidth="1"/>
    <col min="5" max="5" width="15.28515625" bestFit="1" customWidth="1"/>
    <col min="6" max="6" width="11.28515625" bestFit="1" customWidth="1"/>
    <col min="7" max="7" width="7.7109375" customWidth="1"/>
    <col min="8" max="8" width="1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77</v>
      </c>
    </row>
    <row r="2" spans="1:8" x14ac:dyDescent="0.25">
      <c r="A2" t="s">
        <v>7</v>
      </c>
      <c r="B2" t="s">
        <v>8</v>
      </c>
      <c r="C2" t="s">
        <v>9</v>
      </c>
      <c r="D2" s="1">
        <v>46025</v>
      </c>
      <c r="E2" t="s">
        <v>10</v>
      </c>
      <c r="F2" t="s">
        <v>11</v>
      </c>
      <c r="G2">
        <v>55000</v>
      </c>
      <c r="H2">
        <f>IF(COUNTIFS($A$2:A2,A2,$C$2:C2,C2)=1,1,0)</f>
        <v>1</v>
      </c>
    </row>
    <row r="3" spans="1:8" x14ac:dyDescent="0.25">
      <c r="A3" t="s">
        <v>7</v>
      </c>
      <c r="B3" t="s">
        <v>8</v>
      </c>
      <c r="C3" t="s">
        <v>9</v>
      </c>
      <c r="D3" s="1">
        <v>46025</v>
      </c>
      <c r="E3" t="s">
        <v>12</v>
      </c>
      <c r="F3" t="s">
        <v>13</v>
      </c>
      <c r="G3">
        <v>1200</v>
      </c>
      <c r="H3">
        <f>IF(COUNTIFS($A$2:A3,A3,$C$2:C3,C3)=1,1,0)</f>
        <v>0</v>
      </c>
    </row>
    <row r="4" spans="1:8" x14ac:dyDescent="0.25">
      <c r="A4" t="s">
        <v>7</v>
      </c>
      <c r="B4" t="s">
        <v>8</v>
      </c>
      <c r="C4" t="s">
        <v>14</v>
      </c>
      <c r="D4" s="1">
        <v>46032</v>
      </c>
      <c r="E4" t="s">
        <v>15</v>
      </c>
      <c r="F4" t="s">
        <v>13</v>
      </c>
      <c r="G4">
        <v>1800</v>
      </c>
      <c r="H4">
        <f>IF(COUNTIFS($A$2:A4,A4,$C$2:C4,C4)=1,1,0)</f>
        <v>1</v>
      </c>
    </row>
    <row r="5" spans="1:8" x14ac:dyDescent="0.25">
      <c r="A5" t="s">
        <v>7</v>
      </c>
      <c r="B5" t="s">
        <v>8</v>
      </c>
      <c r="C5" t="s">
        <v>16</v>
      </c>
      <c r="D5" s="1">
        <v>46040</v>
      </c>
      <c r="E5" t="s">
        <v>17</v>
      </c>
      <c r="F5" t="s">
        <v>11</v>
      </c>
      <c r="G5">
        <v>12500</v>
      </c>
      <c r="H5">
        <f>IF(COUNTIFS($A$2:A5,A5,$C$2:C5,C5)=1,1,0)</f>
        <v>1</v>
      </c>
    </row>
    <row r="6" spans="1:8" x14ac:dyDescent="0.25">
      <c r="A6" t="s">
        <v>7</v>
      </c>
      <c r="B6" t="s">
        <v>8</v>
      </c>
      <c r="C6" t="s">
        <v>18</v>
      </c>
      <c r="D6" s="1">
        <v>46055</v>
      </c>
      <c r="E6" t="s">
        <v>19</v>
      </c>
      <c r="F6" t="s">
        <v>13</v>
      </c>
      <c r="G6">
        <v>2500</v>
      </c>
      <c r="H6">
        <f>IF(COUNTIFS($A$2:A6,A6,$C$2:C6,C6)=1,1,0)</f>
        <v>1</v>
      </c>
    </row>
    <row r="7" spans="1:8" x14ac:dyDescent="0.25">
      <c r="A7" t="s">
        <v>20</v>
      </c>
      <c r="B7" t="s">
        <v>21</v>
      </c>
      <c r="C7" t="s">
        <v>22</v>
      </c>
      <c r="D7" s="1">
        <v>46027</v>
      </c>
      <c r="E7" t="s">
        <v>23</v>
      </c>
      <c r="F7" t="s">
        <v>24</v>
      </c>
      <c r="G7">
        <v>450</v>
      </c>
      <c r="H7">
        <f>IF(COUNTIFS($A$2:A7,A7,$C$2:C7,C7)=1,1,0)</f>
        <v>1</v>
      </c>
    </row>
    <row r="8" spans="1:8" x14ac:dyDescent="0.25">
      <c r="A8" t="s">
        <v>20</v>
      </c>
      <c r="B8" t="s">
        <v>21</v>
      </c>
      <c r="C8" t="s">
        <v>25</v>
      </c>
      <c r="D8" s="1">
        <v>46037</v>
      </c>
      <c r="E8" t="s">
        <v>26</v>
      </c>
      <c r="F8" t="s">
        <v>27</v>
      </c>
      <c r="G8">
        <v>8500</v>
      </c>
      <c r="H8">
        <f>IF(COUNTIFS($A$2:A8,A8,$C$2:C8,C8)=1,1,0)</f>
        <v>1</v>
      </c>
    </row>
    <row r="9" spans="1:8" x14ac:dyDescent="0.25">
      <c r="A9" t="s">
        <v>20</v>
      </c>
      <c r="B9" t="s">
        <v>21</v>
      </c>
      <c r="C9" t="s">
        <v>25</v>
      </c>
      <c r="D9" s="1">
        <v>46037</v>
      </c>
      <c r="E9" t="s">
        <v>28</v>
      </c>
      <c r="F9" t="s">
        <v>27</v>
      </c>
      <c r="G9">
        <v>1800</v>
      </c>
      <c r="H9">
        <f>IF(COUNTIFS($A$2:A9,A9,$C$2:C9,C9)=1,1,0)</f>
        <v>0</v>
      </c>
    </row>
    <row r="10" spans="1:8" x14ac:dyDescent="0.25">
      <c r="A10" t="s">
        <v>20</v>
      </c>
      <c r="B10" t="s">
        <v>21</v>
      </c>
      <c r="C10" t="s">
        <v>29</v>
      </c>
      <c r="D10" s="1">
        <v>46061</v>
      </c>
      <c r="E10" t="s">
        <v>30</v>
      </c>
      <c r="F10" t="s">
        <v>11</v>
      </c>
      <c r="G10">
        <v>14500</v>
      </c>
      <c r="H10">
        <f>IF(COUNTIFS($A$2:A10,A10,$C$2:C10,C10)=1,1,0)</f>
        <v>1</v>
      </c>
    </row>
    <row r="11" spans="1:8" x14ac:dyDescent="0.25">
      <c r="A11" t="s">
        <v>31</v>
      </c>
      <c r="B11" t="s">
        <v>32</v>
      </c>
      <c r="C11" t="s">
        <v>33</v>
      </c>
      <c r="D11" s="1">
        <v>46029</v>
      </c>
      <c r="E11" t="s">
        <v>34</v>
      </c>
      <c r="F11" t="s">
        <v>11</v>
      </c>
      <c r="G11">
        <v>32000</v>
      </c>
      <c r="H11">
        <f>IF(COUNTIFS($A$2:A11,A11,$C$2:C11,C11)=1,1,0)</f>
        <v>1</v>
      </c>
    </row>
    <row r="12" spans="1:8" x14ac:dyDescent="0.25">
      <c r="A12" t="s">
        <v>31</v>
      </c>
      <c r="B12" t="s">
        <v>32</v>
      </c>
      <c r="C12" t="s">
        <v>35</v>
      </c>
      <c r="D12" s="1">
        <v>46042</v>
      </c>
      <c r="E12" t="s">
        <v>36</v>
      </c>
      <c r="F12" t="s">
        <v>13</v>
      </c>
      <c r="G12">
        <v>1800</v>
      </c>
      <c r="H12">
        <f>IF(COUNTIFS($A$2:A12,A12,$C$2:C12,C12)=1,1,0)</f>
        <v>1</v>
      </c>
    </row>
    <row r="13" spans="1:8" x14ac:dyDescent="0.25">
      <c r="A13" t="s">
        <v>37</v>
      </c>
      <c r="B13" t="s">
        <v>38</v>
      </c>
      <c r="C13" t="s">
        <v>39</v>
      </c>
      <c r="D13" s="1">
        <v>46031</v>
      </c>
      <c r="E13" t="s">
        <v>40</v>
      </c>
      <c r="F13" t="s">
        <v>11</v>
      </c>
      <c r="G13">
        <v>22000</v>
      </c>
      <c r="H13">
        <f>IF(COUNTIFS($A$2:A13,A13,$C$2:C13,C13)=1,1,0)</f>
        <v>1</v>
      </c>
    </row>
    <row r="14" spans="1:8" x14ac:dyDescent="0.25">
      <c r="A14" t="s">
        <v>37</v>
      </c>
      <c r="B14" t="s">
        <v>38</v>
      </c>
      <c r="C14" t="s">
        <v>41</v>
      </c>
      <c r="D14" s="1">
        <v>46047</v>
      </c>
      <c r="E14" t="s">
        <v>42</v>
      </c>
      <c r="F14" t="s">
        <v>13</v>
      </c>
      <c r="G14">
        <v>500</v>
      </c>
      <c r="H14">
        <f>IF(COUNTIFS($A$2:A14,A14,$C$2:C14,C14)=1,1,0)</f>
        <v>1</v>
      </c>
    </row>
    <row r="15" spans="1:8" x14ac:dyDescent="0.25">
      <c r="A15" t="s">
        <v>37</v>
      </c>
      <c r="B15" t="s">
        <v>38</v>
      </c>
      <c r="C15" t="s">
        <v>43</v>
      </c>
      <c r="D15" s="1">
        <v>46065</v>
      </c>
      <c r="E15" t="s">
        <v>15</v>
      </c>
      <c r="F15" t="s">
        <v>13</v>
      </c>
      <c r="G15">
        <v>1800</v>
      </c>
      <c r="H15">
        <f>IF(COUNTIFS($A$2:A15,A15,$C$2:C15,C15)=1,1,0)</f>
        <v>1</v>
      </c>
    </row>
    <row r="16" spans="1:8" x14ac:dyDescent="0.25">
      <c r="A16" t="s">
        <v>37</v>
      </c>
      <c r="B16" t="s">
        <v>38</v>
      </c>
      <c r="C16" t="s">
        <v>44</v>
      </c>
      <c r="D16" s="1">
        <v>46073</v>
      </c>
      <c r="E16" t="s">
        <v>45</v>
      </c>
      <c r="F16" t="s">
        <v>11</v>
      </c>
      <c r="G16">
        <v>3200</v>
      </c>
      <c r="H16">
        <f>IF(COUNTIFS($A$2:A16,A16,$C$2:C16,C16)=1,1,0)</f>
        <v>1</v>
      </c>
    </row>
    <row r="17" spans="1:8" x14ac:dyDescent="0.25">
      <c r="A17" t="s">
        <v>46</v>
      </c>
      <c r="B17" t="s">
        <v>47</v>
      </c>
      <c r="C17" t="s">
        <v>48</v>
      </c>
      <c r="D17" s="1">
        <v>46033</v>
      </c>
      <c r="E17" t="s">
        <v>10</v>
      </c>
      <c r="F17" t="s">
        <v>11</v>
      </c>
      <c r="G17">
        <v>58000</v>
      </c>
      <c r="H17">
        <f>IF(COUNTIFS($A$2:A17,A17,$C$2:C17,C17)=1,1,0)</f>
        <v>1</v>
      </c>
    </row>
    <row r="18" spans="1:8" x14ac:dyDescent="0.25">
      <c r="A18" t="s">
        <v>46</v>
      </c>
      <c r="B18" t="s">
        <v>47</v>
      </c>
      <c r="C18" t="s">
        <v>49</v>
      </c>
      <c r="D18" s="1">
        <v>46051</v>
      </c>
      <c r="E18" t="s">
        <v>50</v>
      </c>
      <c r="F18" t="s">
        <v>13</v>
      </c>
      <c r="G18">
        <v>1000</v>
      </c>
      <c r="H18">
        <f>IF(COUNTIFS($A$2:A18,A18,$C$2:C18,C18)=1,1,0)</f>
        <v>1</v>
      </c>
    </row>
    <row r="19" spans="1:8" x14ac:dyDescent="0.25">
      <c r="A19" t="s">
        <v>51</v>
      </c>
      <c r="B19" t="s">
        <v>52</v>
      </c>
      <c r="C19" t="s">
        <v>53</v>
      </c>
      <c r="D19" s="1">
        <v>46035</v>
      </c>
      <c r="E19" t="s">
        <v>17</v>
      </c>
      <c r="F19" t="s">
        <v>11</v>
      </c>
      <c r="G19">
        <v>14000</v>
      </c>
      <c r="H19">
        <f>IF(COUNTIFS($A$2:A19,A19,$C$2:C19,C19)=1,1,0)</f>
        <v>1</v>
      </c>
    </row>
    <row r="20" spans="1:8" x14ac:dyDescent="0.25">
      <c r="A20" t="s">
        <v>51</v>
      </c>
      <c r="B20" t="s">
        <v>52</v>
      </c>
      <c r="C20" t="s">
        <v>54</v>
      </c>
      <c r="D20" s="1">
        <v>46058</v>
      </c>
      <c r="E20" t="s">
        <v>55</v>
      </c>
      <c r="F20" t="s">
        <v>27</v>
      </c>
      <c r="G20">
        <v>7200</v>
      </c>
      <c r="H20">
        <f>IF(COUNTIFS($A$2:A20,A20,$C$2:C20,C20)=1,1,0)</f>
        <v>1</v>
      </c>
    </row>
    <row r="21" spans="1:8" x14ac:dyDescent="0.25">
      <c r="A21" t="s">
        <v>51</v>
      </c>
      <c r="B21" t="s">
        <v>52</v>
      </c>
      <c r="C21" t="s">
        <v>54</v>
      </c>
      <c r="D21" s="1">
        <v>46058</v>
      </c>
      <c r="E21" t="s">
        <v>15</v>
      </c>
      <c r="F21" t="s">
        <v>13</v>
      </c>
      <c r="G21">
        <v>1800</v>
      </c>
      <c r="H21">
        <f>IF(COUNTIFS($A$2:A21,A21,$C$2:C21,C21)=1,1,0)</f>
        <v>0</v>
      </c>
    </row>
    <row r="22" spans="1:8" x14ac:dyDescent="0.25">
      <c r="A22" t="s">
        <v>56</v>
      </c>
      <c r="B22" t="s">
        <v>57</v>
      </c>
      <c r="C22" t="s">
        <v>58</v>
      </c>
      <c r="D22" s="1">
        <v>46038</v>
      </c>
      <c r="E22" t="s">
        <v>19</v>
      </c>
      <c r="F22" t="s">
        <v>13</v>
      </c>
      <c r="G22">
        <v>2800</v>
      </c>
      <c r="H22">
        <f>IF(COUNTIFS($A$2:A22,A22,$C$2:C22,C22)=1,1,0)</f>
        <v>1</v>
      </c>
    </row>
    <row r="23" spans="1:8" x14ac:dyDescent="0.25">
      <c r="A23" t="s">
        <v>59</v>
      </c>
      <c r="B23" t="s">
        <v>60</v>
      </c>
      <c r="C23" t="s">
        <v>61</v>
      </c>
      <c r="D23" s="1">
        <v>46041</v>
      </c>
      <c r="E23" t="s">
        <v>34</v>
      </c>
      <c r="F23" t="s">
        <v>11</v>
      </c>
      <c r="G23">
        <v>35000</v>
      </c>
      <c r="H23">
        <f>IF(COUNTIFS($A$2:A23,A23,$C$2:C23,C23)=1,1,0)</f>
        <v>1</v>
      </c>
    </row>
    <row r="24" spans="1:8" x14ac:dyDescent="0.25">
      <c r="A24" t="s">
        <v>59</v>
      </c>
      <c r="B24" t="s">
        <v>60</v>
      </c>
      <c r="C24" t="s">
        <v>62</v>
      </c>
      <c r="D24" s="1">
        <v>46068</v>
      </c>
      <c r="E24" t="s">
        <v>63</v>
      </c>
      <c r="F24" t="s">
        <v>11</v>
      </c>
      <c r="G24">
        <v>6500</v>
      </c>
      <c r="H24">
        <f>IF(COUNTIFS($A$2:A24,A24,$C$2:C24,C24)=1,1,0)</f>
        <v>1</v>
      </c>
    </row>
    <row r="25" spans="1:8" x14ac:dyDescent="0.25">
      <c r="A25" t="s">
        <v>64</v>
      </c>
      <c r="B25" t="s">
        <v>65</v>
      </c>
      <c r="C25" t="s">
        <v>66</v>
      </c>
      <c r="D25" s="1">
        <v>46044</v>
      </c>
      <c r="E25" t="s">
        <v>30</v>
      </c>
      <c r="F25" t="s">
        <v>11</v>
      </c>
      <c r="G25">
        <v>15500</v>
      </c>
      <c r="H25">
        <f>IF(COUNTIFS($A$2:A25,A25,$C$2:C25,C25)=1,1,0)</f>
        <v>1</v>
      </c>
    </row>
    <row r="26" spans="1:8" x14ac:dyDescent="0.25">
      <c r="A26" t="s">
        <v>64</v>
      </c>
      <c r="B26" t="s">
        <v>65</v>
      </c>
      <c r="C26" t="s">
        <v>67</v>
      </c>
      <c r="D26" s="1">
        <v>46071</v>
      </c>
      <c r="E26" t="s">
        <v>68</v>
      </c>
      <c r="F26" t="s">
        <v>13</v>
      </c>
      <c r="G26">
        <v>2200</v>
      </c>
      <c r="H26">
        <f>IF(COUNTIFS($A$2:A26,A26,$C$2:C26,C26)=1,1,0)</f>
        <v>1</v>
      </c>
    </row>
    <row r="27" spans="1:8" x14ac:dyDescent="0.25">
      <c r="A27" t="s">
        <v>64</v>
      </c>
      <c r="B27" t="s">
        <v>65</v>
      </c>
      <c r="C27" t="s">
        <v>69</v>
      </c>
      <c r="D27" s="1">
        <v>46078</v>
      </c>
      <c r="E27" t="s">
        <v>70</v>
      </c>
      <c r="F27" t="s">
        <v>24</v>
      </c>
      <c r="G27">
        <v>650</v>
      </c>
      <c r="H27">
        <f>IF(COUNTIFS($A$2:A27,A27,$C$2:C27,C27)=1,1,0)</f>
        <v>1</v>
      </c>
    </row>
    <row r="28" spans="1:8" x14ac:dyDescent="0.25">
      <c r="A28" t="s">
        <v>71</v>
      </c>
      <c r="B28" t="s">
        <v>72</v>
      </c>
      <c r="C28" t="s">
        <v>73</v>
      </c>
      <c r="D28" s="1">
        <v>46049</v>
      </c>
      <c r="E28" t="s">
        <v>40</v>
      </c>
      <c r="F28" t="s">
        <v>11</v>
      </c>
      <c r="G28">
        <v>24000</v>
      </c>
      <c r="H28">
        <f>IF(COUNTIFS($A$2:A28,A28,$C$2:C28,C28)=1,1,0)</f>
        <v>1</v>
      </c>
    </row>
    <row r="29" spans="1:8" x14ac:dyDescent="0.25">
      <c r="A29" t="s">
        <v>71</v>
      </c>
      <c r="B29" t="s">
        <v>72</v>
      </c>
      <c r="C29" t="s">
        <v>74</v>
      </c>
      <c r="D29" s="1">
        <v>46063</v>
      </c>
      <c r="E29" t="s">
        <v>15</v>
      </c>
      <c r="F29" t="s">
        <v>13</v>
      </c>
      <c r="G29">
        <v>1900</v>
      </c>
      <c r="H29">
        <f>IF(COUNTIFS($A$2:A29,A29,$C$2:C29,C29)=1,1,0)</f>
        <v>1</v>
      </c>
    </row>
    <row r="30" spans="1:8" x14ac:dyDescent="0.25">
      <c r="A30" t="s">
        <v>71</v>
      </c>
      <c r="B30" t="s">
        <v>72</v>
      </c>
      <c r="C30" t="s">
        <v>75</v>
      </c>
      <c r="D30" s="1">
        <v>46075</v>
      </c>
      <c r="E30" t="s">
        <v>50</v>
      </c>
      <c r="F30" t="s">
        <v>13</v>
      </c>
      <c r="G30">
        <v>1100</v>
      </c>
      <c r="H30">
        <f>IF(COUNTIFS($A$2:A30,A30,$C$2:C30,C30)=1,1,0)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EF63-386C-4D84-A377-0E004F379F57}">
  <dimension ref="A1:C11"/>
  <sheetViews>
    <sheetView workbookViewId="0">
      <selection activeCell="F5" sqref="F5"/>
    </sheetView>
  </sheetViews>
  <sheetFormatPr defaultRowHeight="15" x14ac:dyDescent="0.25"/>
  <cols>
    <col min="1" max="1" width="15.42578125" bestFit="1" customWidth="1"/>
    <col min="2" max="2" width="19.85546875" bestFit="1" customWidth="1"/>
    <col min="3" max="3" width="15.42578125" bestFit="1" customWidth="1"/>
  </cols>
  <sheetData>
    <row r="1" spans="1:3" ht="18.75" x14ac:dyDescent="0.3">
      <c r="A1" s="3" t="s">
        <v>0</v>
      </c>
      <c r="B1" s="3" t="s">
        <v>1</v>
      </c>
      <c r="C1" s="3" t="s">
        <v>76</v>
      </c>
    </row>
    <row r="2" spans="1:3" x14ac:dyDescent="0.25">
      <c r="A2" s="2" t="s">
        <v>7</v>
      </c>
      <c r="B2" s="2" t="s">
        <v>8</v>
      </c>
      <c r="C2" s="2">
        <f>SUMIFS(Data!$H$2:$H$30,Data!$A$2:$A$30,A2)</f>
        <v>4</v>
      </c>
    </row>
    <row r="3" spans="1:3" x14ac:dyDescent="0.25">
      <c r="A3" s="2" t="s">
        <v>20</v>
      </c>
      <c r="B3" s="2" t="s">
        <v>21</v>
      </c>
      <c r="C3" s="2">
        <f>SUMIFS(Data!$H$2:$H$30,Data!$A$2:$A$30,A3)</f>
        <v>3</v>
      </c>
    </row>
    <row r="4" spans="1:3" x14ac:dyDescent="0.25">
      <c r="A4" s="2" t="s">
        <v>31</v>
      </c>
      <c r="B4" s="2" t="s">
        <v>32</v>
      </c>
      <c r="C4" s="2">
        <f>SUMIFS(Data!$H$2:$H$30,Data!$A$2:$A$30,A4)</f>
        <v>2</v>
      </c>
    </row>
    <row r="5" spans="1:3" x14ac:dyDescent="0.25">
      <c r="A5" s="2" t="s">
        <v>37</v>
      </c>
      <c r="B5" s="2" t="s">
        <v>38</v>
      </c>
      <c r="C5" s="2">
        <f>SUMIFS(Data!$H$2:$H$30,Data!$A$2:$A$30,A5)</f>
        <v>4</v>
      </c>
    </row>
    <row r="6" spans="1:3" x14ac:dyDescent="0.25">
      <c r="A6" s="2" t="s">
        <v>46</v>
      </c>
      <c r="B6" s="2" t="s">
        <v>47</v>
      </c>
      <c r="C6" s="2">
        <f>SUMIFS(Data!$H$2:$H$30,Data!$A$2:$A$30,A6)</f>
        <v>2</v>
      </c>
    </row>
    <row r="7" spans="1:3" x14ac:dyDescent="0.25">
      <c r="A7" s="2" t="s">
        <v>51</v>
      </c>
      <c r="B7" s="2" t="s">
        <v>52</v>
      </c>
      <c r="C7" s="2">
        <f>SUMIFS(Data!$H$2:$H$30,Data!$A$2:$A$30,A7)</f>
        <v>2</v>
      </c>
    </row>
    <row r="8" spans="1:3" x14ac:dyDescent="0.25">
      <c r="A8" s="2" t="s">
        <v>56</v>
      </c>
      <c r="B8" s="2" t="s">
        <v>57</v>
      </c>
      <c r="C8" s="2">
        <f>SUMIFS(Data!$H$2:$H$30,Data!$A$2:$A$30,A8)</f>
        <v>1</v>
      </c>
    </row>
    <row r="9" spans="1:3" x14ac:dyDescent="0.25">
      <c r="A9" s="2" t="s">
        <v>59</v>
      </c>
      <c r="B9" s="2" t="s">
        <v>60</v>
      </c>
      <c r="C9" s="2">
        <f>SUMIFS(Data!$H$2:$H$30,Data!$A$2:$A$30,A9)</f>
        <v>2</v>
      </c>
    </row>
    <row r="10" spans="1:3" x14ac:dyDescent="0.25">
      <c r="A10" s="2" t="s">
        <v>64</v>
      </c>
      <c r="B10" s="2" t="s">
        <v>65</v>
      </c>
      <c r="C10" s="2">
        <f>SUMIFS(Data!$H$2:$H$30,Data!$A$2:$A$30,A10)</f>
        <v>3</v>
      </c>
    </row>
    <row r="11" spans="1:3" x14ac:dyDescent="0.25">
      <c r="A11" s="2" t="s">
        <v>71</v>
      </c>
      <c r="B11" s="2" t="s">
        <v>72</v>
      </c>
      <c r="C11" s="2">
        <f>SUMIFS(Data!$H$2:$H$30,Data!$A$2:$A$30,A11)</f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E75F-AC5B-43EE-9301-9EC97DAE8FB6}">
  <dimension ref="A1:C11"/>
  <sheetViews>
    <sheetView tabSelected="1" workbookViewId="0">
      <selection activeCell="F18" sqref="F18"/>
    </sheetView>
  </sheetViews>
  <sheetFormatPr defaultRowHeight="15" x14ac:dyDescent="0.25"/>
  <cols>
    <col min="1" max="1" width="9.85546875" bestFit="1" customWidth="1"/>
    <col min="2" max="2" width="20" bestFit="1" customWidth="1"/>
    <col min="3" max="3" width="16.42578125" bestFit="1" customWidth="1"/>
  </cols>
  <sheetData>
    <row r="1" spans="1:3" x14ac:dyDescent="0.25">
      <c r="A1" s="4" t="s">
        <v>78</v>
      </c>
      <c r="B1" s="4" t="s">
        <v>1</v>
      </c>
      <c r="C1" s="4" t="s">
        <v>76</v>
      </c>
    </row>
    <row r="2" spans="1:3" x14ac:dyDescent="0.25">
      <c r="A2">
        <v>1</v>
      </c>
      <c r="B2" t="s">
        <v>8</v>
      </c>
      <c r="C2">
        <v>4</v>
      </c>
    </row>
    <row r="3" spans="1:3" x14ac:dyDescent="0.25">
      <c r="A3">
        <v>2</v>
      </c>
      <c r="B3" t="s">
        <v>38</v>
      </c>
      <c r="C3">
        <v>4</v>
      </c>
    </row>
    <row r="4" spans="1:3" x14ac:dyDescent="0.25">
      <c r="A4">
        <v>3</v>
      </c>
      <c r="B4" t="s">
        <v>21</v>
      </c>
      <c r="C4">
        <v>3</v>
      </c>
    </row>
    <row r="5" spans="1:3" x14ac:dyDescent="0.25">
      <c r="A5">
        <v>4</v>
      </c>
      <c r="B5" t="s">
        <v>65</v>
      </c>
      <c r="C5">
        <v>3</v>
      </c>
    </row>
    <row r="6" spans="1:3" x14ac:dyDescent="0.25">
      <c r="A6">
        <v>5</v>
      </c>
      <c r="B6" t="s">
        <v>72</v>
      </c>
      <c r="C6">
        <v>3</v>
      </c>
    </row>
    <row r="7" spans="1:3" x14ac:dyDescent="0.25">
      <c r="A7">
        <v>6</v>
      </c>
      <c r="B7" t="s">
        <v>32</v>
      </c>
      <c r="C7">
        <v>2</v>
      </c>
    </row>
    <row r="8" spans="1:3" x14ac:dyDescent="0.25">
      <c r="A8">
        <v>7</v>
      </c>
      <c r="B8" t="s">
        <v>47</v>
      </c>
      <c r="C8">
        <v>2</v>
      </c>
    </row>
    <row r="9" spans="1:3" x14ac:dyDescent="0.25">
      <c r="A9">
        <v>8</v>
      </c>
      <c r="B9" t="s">
        <v>52</v>
      </c>
      <c r="C9">
        <v>2</v>
      </c>
    </row>
    <row r="10" spans="1:3" x14ac:dyDescent="0.25">
      <c r="A10">
        <v>9</v>
      </c>
      <c r="B10" t="s">
        <v>60</v>
      </c>
      <c r="C10">
        <v>2</v>
      </c>
    </row>
    <row r="11" spans="1:3" x14ac:dyDescent="0.25">
      <c r="A11">
        <v>10</v>
      </c>
      <c r="B11" t="s">
        <v>57</v>
      </c>
      <c r="C11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Customer Order Table</vt:lpstr>
      <vt:lpstr>Top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.</dc:creator>
  <cp:lastModifiedBy>Bhagya .</cp:lastModifiedBy>
  <dcterms:created xsi:type="dcterms:W3CDTF">2026-09-27T07:25:07Z</dcterms:created>
  <dcterms:modified xsi:type="dcterms:W3CDTF">2026-09-27T07:55:07Z</dcterms:modified>
</cp:coreProperties>
</file>